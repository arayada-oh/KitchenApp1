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ersonal Project\"/>
    </mc:Choice>
  </mc:AlternateContent>
  <xr:revisionPtr revIDLastSave="0" documentId="13_ncr:1_{0247B666-39E8-4F21-B3D1-73F59C0EE9D8}" xr6:coauthVersionLast="47" xr6:coauthVersionMax="47" xr10:uidLastSave="{00000000-0000-0000-0000-000000000000}"/>
  <bookViews>
    <workbookView xWindow="0" yWindow="0" windowWidth="19200" windowHeight="10080" activeTab="1" xr2:uid="{A22A6C5E-366A-4999-BD8E-5BFE874B5859}"/>
  </bookViews>
  <sheets>
    <sheet name="OutOfStock" sheetId="5" r:id="rId1"/>
    <sheet name="Ingredient" sheetId="2" r:id="rId2"/>
    <sheet name="Unit" sheetId="4" r:id="rId3"/>
    <sheet name="Classif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2" i="5"/>
  <c r="B2" i="5" a="1"/>
  <c r="B2" i="5" s="1"/>
  <c r="D68" i="2"/>
  <c r="D69" i="2"/>
  <c r="D70" i="2"/>
  <c r="D71" i="2"/>
  <c r="A68" i="2"/>
  <c r="A69" i="2"/>
  <c r="A70" i="2"/>
  <c r="A71" i="2"/>
  <c r="A62" i="2"/>
  <c r="A63" i="2"/>
  <c r="A64" i="2"/>
  <c r="A65" i="2"/>
  <c r="D65" i="2" s="1"/>
  <c r="A66" i="2"/>
  <c r="D66" i="2" s="1"/>
  <c r="D62" i="2"/>
  <c r="D63" i="2"/>
  <c r="D64" i="2"/>
  <c r="A58" i="2"/>
  <c r="D58" i="2" s="1"/>
  <c r="A59" i="2"/>
  <c r="D59" i="2" s="1"/>
  <c r="A60" i="2"/>
  <c r="D60" i="2" s="1"/>
  <c r="A3" i="2"/>
  <c r="D3" i="2" s="1"/>
  <c r="A4" i="2"/>
  <c r="D4" i="2" s="1"/>
  <c r="A5" i="2"/>
  <c r="D5" i="2" s="1"/>
  <c r="A6" i="2"/>
  <c r="D6" i="2" s="1"/>
  <c r="A7" i="2"/>
  <c r="D7" i="2" s="1"/>
  <c r="A8" i="2"/>
  <c r="D8" i="2" s="1"/>
  <c r="A9" i="2"/>
  <c r="D9" i="2" s="1"/>
  <c r="A10" i="2"/>
  <c r="D10" i="2" s="1"/>
  <c r="A11" i="2"/>
  <c r="D11" i="2" s="1"/>
  <c r="A12" i="2"/>
  <c r="D12" i="2" s="1"/>
  <c r="A13" i="2"/>
  <c r="D13" i="2" s="1"/>
  <c r="A14" i="2"/>
  <c r="D14" i="2" s="1"/>
  <c r="A15" i="2"/>
  <c r="D15" i="2" s="1"/>
  <c r="A16" i="2"/>
  <c r="D16" i="2" s="1"/>
  <c r="A17" i="2"/>
  <c r="D17" i="2" s="1"/>
  <c r="A18" i="2"/>
  <c r="D18" i="2" s="1"/>
  <c r="A19" i="2"/>
  <c r="D19" i="2" s="1"/>
  <c r="A20" i="2"/>
  <c r="D20" i="2" s="1"/>
  <c r="A21" i="2"/>
  <c r="D21" i="2" s="1"/>
  <c r="A22" i="2"/>
  <c r="D22" i="2" s="1"/>
  <c r="A23" i="2"/>
  <c r="D23" i="2" s="1"/>
  <c r="A24" i="2"/>
  <c r="D24" i="2" s="1"/>
  <c r="A25" i="2"/>
  <c r="D25" i="2" s="1"/>
  <c r="A26" i="2"/>
  <c r="D26" i="2" s="1"/>
  <c r="A27" i="2"/>
  <c r="D27" i="2" s="1"/>
  <c r="A28" i="2"/>
  <c r="D28" i="2" s="1"/>
  <c r="A29" i="2"/>
  <c r="D29" i="2" s="1"/>
  <c r="A30" i="2"/>
  <c r="D30" i="2" s="1"/>
  <c r="A31" i="2"/>
  <c r="D31" i="2" s="1"/>
  <c r="A32" i="2"/>
  <c r="D32" i="2" s="1"/>
  <c r="A33" i="2"/>
  <c r="D33" i="2" s="1"/>
  <c r="A34" i="2"/>
  <c r="D34" i="2" s="1"/>
  <c r="A35" i="2"/>
  <c r="D35" i="2" s="1"/>
  <c r="A36" i="2"/>
  <c r="D36" i="2" s="1"/>
  <c r="A37" i="2"/>
  <c r="D37" i="2" s="1"/>
  <c r="A38" i="2"/>
  <c r="D38" i="2" s="1"/>
  <c r="A39" i="2"/>
  <c r="D39" i="2" s="1"/>
  <c r="A40" i="2"/>
  <c r="D40" i="2" s="1"/>
  <c r="A41" i="2"/>
  <c r="D41" i="2" s="1"/>
  <c r="A42" i="2"/>
  <c r="D42" i="2" s="1"/>
  <c r="A43" i="2"/>
  <c r="D43" i="2" s="1"/>
  <c r="A44" i="2"/>
  <c r="D44" i="2" s="1"/>
  <c r="A45" i="2"/>
  <c r="D45" i="2" s="1"/>
  <c r="A46" i="2"/>
  <c r="D46" i="2" s="1"/>
  <c r="A47" i="2"/>
  <c r="D47" i="2" s="1"/>
  <c r="A48" i="2"/>
  <c r="D48" i="2" s="1"/>
  <c r="A49" i="2"/>
  <c r="D49" i="2" s="1"/>
  <c r="A50" i="2"/>
  <c r="D50" i="2" s="1"/>
  <c r="A51" i="2"/>
  <c r="D51" i="2" s="1"/>
  <c r="A52" i="2"/>
  <c r="D52" i="2" s="1"/>
  <c r="A53" i="2"/>
  <c r="D53" i="2" s="1"/>
  <c r="A54" i="2"/>
  <c r="D54" i="2" s="1"/>
  <c r="A55" i="2"/>
  <c r="D55" i="2" s="1"/>
  <c r="A56" i="2"/>
  <c r="D56" i="2" s="1"/>
  <c r="A57" i="2"/>
  <c r="D57" i="2" s="1"/>
  <c r="A61" i="2"/>
  <c r="D61" i="2" s="1"/>
  <c r="A67" i="2"/>
  <c r="D67" i="2" s="1"/>
  <c r="A73" i="2"/>
  <c r="D73" i="2" s="1"/>
  <c r="A74" i="2"/>
  <c r="D74" i="2" s="1"/>
  <c r="A75" i="2"/>
  <c r="D75" i="2" s="1"/>
  <c r="A76" i="2"/>
  <c r="D76" i="2" s="1"/>
  <c r="A77" i="2"/>
  <c r="D77" i="2" s="1"/>
  <c r="A78" i="2"/>
  <c r="D78" i="2" s="1"/>
  <c r="A79" i="2"/>
  <c r="D79" i="2" s="1"/>
  <c r="A80" i="2"/>
  <c r="D80" i="2" s="1"/>
  <c r="A81" i="2"/>
  <c r="D81" i="2" s="1"/>
  <c r="A82" i="2"/>
  <c r="D82" i="2" s="1"/>
  <c r="A83" i="2"/>
  <c r="D83" i="2" s="1"/>
  <c r="A84" i="2"/>
  <c r="D84" i="2" s="1"/>
  <c r="A85" i="2"/>
  <c r="D85" i="2" s="1"/>
  <c r="A2" i="2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<sst xmlns="http://schemas.openxmlformats.org/spreadsheetml/2006/main" count="308" uniqueCount="233">
  <si>
    <t>Stock</t>
  </si>
  <si>
    <t>เครื่องปรุงรสของเหลว (Liquid Seasonings)</t>
  </si>
  <si>
    <t>001</t>
  </si>
  <si>
    <t>เครื่องปรุงรสของแห้งและผง (Dry Seasonings &amp; Powders)</t>
  </si>
  <si>
    <t>002</t>
  </si>
  <si>
    <t>สมุนไพรและเครื่องเทศสด (Fresh Herbs &amp; Spices)</t>
  </si>
  <si>
    <t>003</t>
  </si>
  <si>
    <t>เครื่องเทศแห้ง (Dry Spices)</t>
  </si>
  <si>
    <t>004</t>
  </si>
  <si>
    <t>น้ำมันและไขมัน (Oils &amp; Fats)</t>
  </si>
  <si>
    <t>005</t>
  </si>
  <si>
    <t>แป้งและส่วนผสมแห้ง (Flour &amp; Dry Ingredients)</t>
  </si>
  <si>
    <t>006</t>
  </si>
  <si>
    <t>เนื้อสัตว์และโปรตีนหลัก (Meat &amp; Proteins)</t>
  </si>
  <si>
    <t>007</t>
  </si>
  <si>
    <t>ผักสดพื้นฐาน (Everyday Vegetables)</t>
  </si>
  <si>
    <t>008</t>
  </si>
  <si>
    <t>009</t>
  </si>
  <si>
    <t>ข้าวและเส้น (Rice &amp; Noodles)</t>
  </si>
  <si>
    <t>เครื่องแกงสำเร็จรูป (Ready-made Curry Pastes)</t>
  </si>
  <si>
    <t>010</t>
  </si>
  <si>
    <t>พริกแกงเขียวหวาน</t>
  </si>
  <si>
    <t>พริกแกงส้ม</t>
  </si>
  <si>
    <t>น้ำพริกเผา</t>
  </si>
  <si>
    <t xml:space="preserve">น้ำปลา </t>
  </si>
  <si>
    <t xml:space="preserve">ซีอิ๊วขาว </t>
  </si>
  <si>
    <t xml:space="preserve">ซีอิ๊วดำ / ซีอิ๊วหวาน </t>
  </si>
  <si>
    <t xml:space="preserve">ซอสหอยนางรม </t>
  </si>
  <si>
    <t xml:space="preserve">น้ำส้มสายชู </t>
  </si>
  <si>
    <t xml:space="preserve">ซอสปรุงรสฝาเขียว </t>
  </si>
  <si>
    <t xml:space="preserve">น้ำตาลทราย </t>
  </si>
  <si>
    <t xml:space="preserve">น้ำตาลปี๊บ / น้ำตาลมะพร้าว </t>
  </si>
  <si>
    <t xml:space="preserve">เกลือ </t>
  </si>
  <si>
    <t xml:space="preserve">ผงชูรส </t>
  </si>
  <si>
    <t xml:space="preserve">ผงปรุงรสหมู/ไก่ </t>
  </si>
  <si>
    <t xml:space="preserve">ผงพะโล้ </t>
  </si>
  <si>
    <t xml:space="preserve">กระเทียม </t>
  </si>
  <si>
    <t xml:space="preserve">หอมแดง </t>
  </si>
  <si>
    <t xml:space="preserve">พริกขี้หนู / พริกจินดา </t>
  </si>
  <si>
    <t xml:space="preserve">ข่า </t>
  </si>
  <si>
    <t xml:space="preserve">ตะไคร้ </t>
  </si>
  <si>
    <t xml:space="preserve">ใบมะกรูด </t>
  </si>
  <si>
    <t xml:space="preserve">รากผักชี / ผักชี </t>
  </si>
  <si>
    <t xml:space="preserve">กะเพรา </t>
  </si>
  <si>
    <t xml:space="preserve">โหระพา </t>
  </si>
  <si>
    <t xml:space="preserve">มะนาว </t>
  </si>
  <si>
    <t xml:space="preserve">พริกไทยเม็ดขาว/ดำ </t>
  </si>
  <si>
    <t xml:space="preserve">พริกแห้ง </t>
  </si>
  <si>
    <t xml:space="preserve">พริกป่น </t>
  </si>
  <si>
    <t xml:space="preserve">กะปิ </t>
  </si>
  <si>
    <t xml:space="preserve">มะขามเปียก </t>
  </si>
  <si>
    <t xml:space="preserve">น้ำมันพืช </t>
  </si>
  <si>
    <t xml:space="preserve">น้ำมันหมู </t>
  </si>
  <si>
    <t xml:space="preserve">กะทิ </t>
  </si>
  <si>
    <t xml:space="preserve">แป้งมันสำปะหลัง </t>
  </si>
  <si>
    <t xml:space="preserve">แป้งข้าวเจ้า </t>
  </si>
  <si>
    <t xml:space="preserve">แป้งทอดกรอบ </t>
  </si>
  <si>
    <t xml:space="preserve">ข้าวคั่ว </t>
  </si>
  <si>
    <t xml:space="preserve">ไข่ </t>
  </si>
  <si>
    <t xml:space="preserve">ข้าวสาร </t>
  </si>
  <si>
    <t xml:space="preserve">บะหมี่กึ่งสำเร็จรูป </t>
  </si>
  <si>
    <t>พริกแกงเผ็ด / แกงคั่ว</t>
  </si>
  <si>
    <t>Fish Sauce</t>
  </si>
  <si>
    <t>Light Soy Sauce</t>
  </si>
  <si>
    <t>Dark / Sweet Soy Sauce</t>
  </si>
  <si>
    <t>Oyster Sauce</t>
  </si>
  <si>
    <t>Vinegar</t>
  </si>
  <si>
    <t>Seasoning Sauce</t>
  </si>
  <si>
    <t>Sugar</t>
  </si>
  <si>
    <t>Palm Sugar</t>
  </si>
  <si>
    <t>Salt</t>
  </si>
  <si>
    <t>MSG</t>
  </si>
  <si>
    <t>Bouillon Powder</t>
  </si>
  <si>
    <t>Five-Spice Powder</t>
  </si>
  <si>
    <t>Garlic</t>
  </si>
  <si>
    <t>Shallot</t>
  </si>
  <si>
    <t>Chili</t>
  </si>
  <si>
    <t>Galangal</t>
  </si>
  <si>
    <t>Lemongrass</t>
  </si>
  <si>
    <t>Kaffir Lime Leaves</t>
  </si>
  <si>
    <t>Coriander Root / Cilantro</t>
  </si>
  <si>
    <t>Holy Basil</t>
  </si>
  <si>
    <t>Thai Basil</t>
  </si>
  <si>
    <t>Lime</t>
  </si>
  <si>
    <t>White/Black Peppercorns</t>
  </si>
  <si>
    <t>Dried Chili</t>
  </si>
  <si>
    <t>Chili Powder</t>
  </si>
  <si>
    <t>Shrimp Paste</t>
  </si>
  <si>
    <t>Tamarind Paste</t>
  </si>
  <si>
    <t>Vegetable Oil - สำหรับผัด/ทอดทั่วไป</t>
  </si>
  <si>
    <t>Lard</t>
  </si>
  <si>
    <t>Coconut Milk - ทั้งแบบกล่องและคั้นสด</t>
  </si>
  <si>
    <t>Tapioca Starch</t>
  </si>
  <si>
    <t>Rice Flour</t>
  </si>
  <si>
    <t>Crispy Frying Flour</t>
  </si>
  <si>
    <t>Toasted Rice Powder</t>
  </si>
  <si>
    <t>น้ำตาลกรวด</t>
  </si>
  <si>
    <t>น้ำตาลทรายแดง</t>
  </si>
  <si>
    <t>Rock Sugar</t>
  </si>
  <si>
    <t>Brown Sugar</t>
  </si>
  <si>
    <t>ซอสญี่ปุ่น</t>
  </si>
  <si>
    <t>Japanese Soy Sauce</t>
  </si>
  <si>
    <t>In Use</t>
  </si>
  <si>
    <t>หมูสับ</t>
  </si>
  <si>
    <t>หมูหั่นชิ้น</t>
  </si>
  <si>
    <t>หมูสามชั้น</t>
  </si>
  <si>
    <t>อกไก่</t>
  </si>
  <si>
    <t>น่องไก่</t>
  </si>
  <si>
    <t>สะโพกไก่</t>
  </si>
  <si>
    <t>กุ้ง</t>
  </si>
  <si>
    <t>ปลานิล</t>
  </si>
  <si>
    <t>เต้าหู้หลอด</t>
  </si>
  <si>
    <t>เต้าหู้แผ่น</t>
  </si>
  <si>
    <t>เส้นบะหมี่</t>
  </si>
  <si>
    <t>เส้นหมี่แห้ง</t>
  </si>
  <si>
    <t>วุ้นเส้น</t>
  </si>
  <si>
    <t>เส้นเล็ก</t>
  </si>
  <si>
    <t>เส้นผัดไทย</t>
  </si>
  <si>
    <t>วัตถุดิบ</t>
  </si>
  <si>
    <t>FLO</t>
  </si>
  <si>
    <t>MET</t>
  </si>
  <si>
    <t>VET</t>
  </si>
  <si>
    <t>RCE</t>
  </si>
  <si>
    <t>CUR</t>
  </si>
  <si>
    <t>LSS</t>
  </si>
  <si>
    <t>DSS</t>
  </si>
  <si>
    <t>FHB</t>
  </si>
  <si>
    <t>DHB</t>
  </si>
  <si>
    <t>OLF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</si>
  <si>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</si>
  <si>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</si>
  <si>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</si>
  <si>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</si>
  <si>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</si>
  <si>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</si>
  <si>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</si>
  <si>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</si>
  <si>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</si>
  <si>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</si>
  <si>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</si>
  <si>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</si>
  <si>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</si>
  <si>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</si>
  <si>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</si>
  <si>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</si>
  <si>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</si>
  <si>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</si>
  <si>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</si>
  <si>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</si>
  <si>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</si>
  <si>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</si>
  <si>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</si>
  <si>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</si>
  <si>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</si>
  <si>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</si>
  <si>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</si>
  <si>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</si>
  <si>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</si>
  <si>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</si>
  <si>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</si>
  <si>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</si>
  <si>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</si>
  <si>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</si>
  <si>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</si>
  <si>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</si>
  <si>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</si>
  <si>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</si>
  <si>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</si>
  <si>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</si>
  <si>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</si>
  <si>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</si>
  <si>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</si>
  <si>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</si>
  <si>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</si>
  <si>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</si>
  <si>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</si>
  <si>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</si>
  <si>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</si>
  <si>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</si>
  <si>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</si>
  <si>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</si>
  <si>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</si>
  <si>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</si>
  <si>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</si>
  <si>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</si>
  <si>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</si>
  <si>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</si>
  <si>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</si>
  <si>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</si>
  <si>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</si>
  <si>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</si>
  <si>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</si>
  <si>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</si>
  <si>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</si>
  <si>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</si>
  <si>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</si>
  <si>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</si>
  <si>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</si>
  <si>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</si>
  <si>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</si>
  <si>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Ingredient</t>
  </si>
  <si>
    <t>Unit</t>
  </si>
  <si>
    <t>กะหล่ำปลี</t>
  </si>
  <si>
    <t>แครอท</t>
  </si>
  <si>
    <t>แตงกวา</t>
  </si>
  <si>
    <t>ผักบุ้ง</t>
  </si>
  <si>
    <t>ผักชี</t>
  </si>
  <si>
    <t>ขึ้นฉ่าย</t>
  </si>
  <si>
    <t>หอมใหญ่</t>
  </si>
  <si>
    <t>มะเขือเทศ</t>
  </si>
  <si>
    <t>72</t>
  </si>
  <si>
    <t>73</t>
  </si>
  <si>
    <t>74</t>
  </si>
  <si>
    <t>75</t>
  </si>
  <si>
    <t>76</t>
  </si>
  <si>
    <t>77</t>
  </si>
  <si>
    <t>78</t>
  </si>
  <si>
    <t>79</t>
  </si>
  <si>
    <t>มะเขือยาว</t>
  </si>
  <si>
    <t>ฟักทอง</t>
  </si>
  <si>
    <t>มะเขือเปราะ</t>
  </si>
  <si>
    <t>80</t>
  </si>
  <si>
    <t>81</t>
  </si>
  <si>
    <t>82</t>
  </si>
  <si>
    <t>83</t>
  </si>
  <si>
    <t>84</t>
  </si>
  <si>
    <t>ต้นหอม</t>
  </si>
  <si>
    <t>กระชาย</t>
  </si>
  <si>
    <t>ขิง</t>
  </si>
  <si>
    <t>เห็ด</t>
  </si>
  <si>
    <t>Price</t>
  </si>
  <si>
    <t>วัตถุดิบต้องซื้อ</t>
  </si>
  <si>
    <t>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</si>
</sst>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0"/>
      <color theme="1"/>
      <name val="Arial"/>
      <family val="2"/>
    </font>
    <font>
      <sz val="14"/>
      <color theme="1"/>
      <name val="Angsana New"/>
      <family val="1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4C55-8763-45B4-93B3-861EE37CDF51}">
  <dimension ref="B1:C41"/>
  <sheetViews>
    <sheetView workbookViewId="0">
      <selection activeCell="E6" sqref="E6"/>
    </sheetView>
  </sheetViews>
  <sheetFormatPr defaultRowHeight="14" x14ac:dyDescent="0.3"/>
  <cols>
    <col min="2" max="2" width="24.75" customWidth="1"/>
  </cols>
  <sheetData>
    <row r="1" spans="2:3" x14ac:dyDescent="0.3">
      <c r="B1" t="s">
        <v>231</v>
      </c>
      <c r="C1" t="s">
        <v>230</v>
      </c>
    </row>
    <row r="2" spans="2:3" x14ac:dyDescent="0.3">
      <c r="B2" t="str" cm="1">
        <f t="array" ref="B2:B41">_xlfn._xlws.FILTER(Ingredient!E2:E85,Ingredient!I2:I85=0)</f>
        <v xml:space="preserve">น้ำปลา </v>
      </c>
      <c r="C2">
        <f>VLOOKUP(B2,Ingredient!E:K,7,FALSE)</f>
        <v>30</v>
      </c>
    </row>
    <row r="3" spans="2:3" x14ac:dyDescent="0.3">
      <c r="B3" t="str">
        <v xml:space="preserve">ซีอิ๊วขาว </v>
      </c>
      <c r="C3">
        <f>VLOOKUP(B3,Ingredient!E:K,7,FALSE)</f>
        <v>40</v>
      </c>
    </row>
    <row r="4" spans="2:3" x14ac:dyDescent="0.3">
      <c r="B4" t="str">
        <v xml:space="preserve">ซีอิ๊วดำ / ซีอิ๊วหวาน </v>
      </c>
      <c r="C4">
        <f>VLOOKUP(B4,Ingredient!E:K,7,FALSE)</f>
        <v>30</v>
      </c>
    </row>
    <row r="5" spans="2:3" x14ac:dyDescent="0.3">
      <c r="B5" t="str">
        <v xml:space="preserve">ซอสหอยนางรม </v>
      </c>
      <c r="C5">
        <f>VLOOKUP(B5,Ingredient!E:K,7,FALSE)</f>
        <v>40</v>
      </c>
    </row>
    <row r="6" spans="2:3" x14ac:dyDescent="0.3">
      <c r="B6" t="str">
        <v xml:space="preserve">น้ำส้มสายชู </v>
      </c>
      <c r="C6">
        <f>VLOOKUP(B6,Ingredient!E:K,7,FALSE)</f>
        <v>10</v>
      </c>
    </row>
    <row r="7" spans="2:3" x14ac:dyDescent="0.3">
      <c r="B7" t="str">
        <v xml:space="preserve">ซอสปรุงรสฝาเขียว </v>
      </c>
      <c r="C7">
        <f>VLOOKUP(B7,Ingredient!E:K,7,FALSE)</f>
        <v>20</v>
      </c>
    </row>
    <row r="8" spans="2:3" x14ac:dyDescent="0.3">
      <c r="B8" t="str">
        <v>ซอสญี่ปุ่น</v>
      </c>
      <c r="C8">
        <f>VLOOKUP(B8,Ingredient!E:K,7,FALSE)</f>
        <v>0</v>
      </c>
    </row>
    <row r="9" spans="2:3" x14ac:dyDescent="0.3">
      <c r="B9" t="str">
        <v xml:space="preserve">น้ำตาลทราย </v>
      </c>
      <c r="C9">
        <f>VLOOKUP(B9,Ingredient!E:K,7,FALSE)</f>
        <v>0</v>
      </c>
    </row>
    <row r="10" spans="2:3" x14ac:dyDescent="0.3">
      <c r="B10" t="str">
        <v xml:space="preserve">น้ำตาลปี๊บ / น้ำตาลมะพร้าว </v>
      </c>
      <c r="C10">
        <f>VLOOKUP(B10,Ingredient!E:K,7,FALSE)</f>
        <v>0</v>
      </c>
    </row>
    <row r="11" spans="2:3" x14ac:dyDescent="0.3">
      <c r="B11" t="str">
        <v>น้ำตาลกรวด</v>
      </c>
      <c r="C11">
        <f>VLOOKUP(B11,Ingredient!E:K,7,FALSE)</f>
        <v>0</v>
      </c>
    </row>
    <row r="12" spans="2:3" x14ac:dyDescent="0.3">
      <c r="B12" t="str">
        <v>น้ำตาลทรายแดง</v>
      </c>
      <c r="C12">
        <f>VLOOKUP(B12,Ingredient!E:K,7,FALSE)</f>
        <v>0</v>
      </c>
    </row>
    <row r="13" spans="2:3" x14ac:dyDescent="0.3">
      <c r="B13" t="str">
        <v xml:space="preserve">ผงชูรส </v>
      </c>
      <c r="C13">
        <f>VLOOKUP(B13,Ingredient!E:K,7,FALSE)</f>
        <v>0</v>
      </c>
    </row>
    <row r="14" spans="2:3" x14ac:dyDescent="0.3">
      <c r="B14" t="str">
        <v xml:space="preserve">ผงพะโล้ </v>
      </c>
      <c r="C14">
        <f>VLOOKUP(B14,Ingredient!E:K,7,FALSE)</f>
        <v>0</v>
      </c>
    </row>
    <row r="15" spans="2:3" x14ac:dyDescent="0.3">
      <c r="B15" t="str">
        <v xml:space="preserve">พริกขี้หนู / พริกจินดา </v>
      </c>
      <c r="C15">
        <f>VLOOKUP(B15,Ingredient!E:K,7,FALSE)</f>
        <v>0</v>
      </c>
    </row>
    <row r="16" spans="2:3" x14ac:dyDescent="0.3">
      <c r="B16" t="str">
        <v xml:space="preserve">โหระพา </v>
      </c>
      <c r="C16">
        <f>VLOOKUP(B16,Ingredient!E:K,7,FALSE)</f>
        <v>0</v>
      </c>
    </row>
    <row r="17" spans="2:3" x14ac:dyDescent="0.3">
      <c r="B17" t="str">
        <v xml:space="preserve">พริกไทยเม็ดขาว/ดำ </v>
      </c>
      <c r="C17">
        <f>VLOOKUP(B17,Ingredient!E:K,7,FALSE)</f>
        <v>0</v>
      </c>
    </row>
    <row r="18" spans="2:3" x14ac:dyDescent="0.3">
      <c r="B18" t="str">
        <v xml:space="preserve">พริกป่น </v>
      </c>
      <c r="C18">
        <f>VLOOKUP(B18,Ingredient!E:K,7,FALSE)</f>
        <v>0</v>
      </c>
    </row>
    <row r="19" spans="2:3" x14ac:dyDescent="0.3">
      <c r="B19" t="str">
        <v xml:space="preserve">กะปิ </v>
      </c>
      <c r="C19">
        <f>VLOOKUP(B19,Ingredient!E:K,7,FALSE)</f>
        <v>0</v>
      </c>
    </row>
    <row r="20" spans="2:3" x14ac:dyDescent="0.3">
      <c r="B20" t="str">
        <v xml:space="preserve">น้ำมันพืช </v>
      </c>
      <c r="C20">
        <f>VLOOKUP(B20,Ingredient!E:K,7,FALSE)</f>
        <v>0</v>
      </c>
    </row>
    <row r="21" spans="2:3" x14ac:dyDescent="0.3">
      <c r="B21" t="str">
        <v xml:space="preserve">น้ำมันหมู </v>
      </c>
      <c r="C21">
        <f>VLOOKUP(B21,Ingredient!E:K,7,FALSE)</f>
        <v>0</v>
      </c>
    </row>
    <row r="22" spans="2:3" x14ac:dyDescent="0.3">
      <c r="B22" t="str">
        <v xml:space="preserve">กะทิ </v>
      </c>
      <c r="C22">
        <f>VLOOKUP(B22,Ingredient!E:K,7,FALSE)</f>
        <v>0</v>
      </c>
    </row>
    <row r="23" spans="2:3" x14ac:dyDescent="0.3">
      <c r="B23" t="str">
        <v xml:space="preserve">แป้งมันสำปะหลัง </v>
      </c>
      <c r="C23">
        <f>VLOOKUP(B23,Ingredient!E:K,7,FALSE)</f>
        <v>0</v>
      </c>
    </row>
    <row r="24" spans="2:3" x14ac:dyDescent="0.3">
      <c r="B24" t="str">
        <v xml:space="preserve">แป้งข้าวเจ้า </v>
      </c>
      <c r="C24">
        <f>VLOOKUP(B24,Ingredient!E:K,7,FALSE)</f>
        <v>0</v>
      </c>
    </row>
    <row r="25" spans="2:3" x14ac:dyDescent="0.3">
      <c r="B25" t="str">
        <v xml:space="preserve">แป้งทอดกรอบ </v>
      </c>
      <c r="C25">
        <f>VLOOKUP(B25,Ingredient!E:K,7,FALSE)</f>
        <v>0</v>
      </c>
    </row>
    <row r="26" spans="2:3" x14ac:dyDescent="0.3">
      <c r="B26" t="str">
        <v xml:space="preserve">ข้าวคั่ว </v>
      </c>
      <c r="C26">
        <f>VLOOKUP(B26,Ingredient!E:K,7,FALSE)</f>
        <v>0</v>
      </c>
    </row>
    <row r="27" spans="2:3" x14ac:dyDescent="0.3">
      <c r="B27" t="str">
        <v>หมูหั่นชิ้น</v>
      </c>
      <c r="C27">
        <f>VLOOKUP(B27,Ingredient!E:K,7,FALSE)</f>
        <v>0</v>
      </c>
    </row>
    <row r="28" spans="2:3" x14ac:dyDescent="0.3">
      <c r="B28" t="str">
        <v>หมูสามชั้น</v>
      </c>
      <c r="C28">
        <f>VLOOKUP(B28,Ingredient!E:K,7,FALSE)</f>
        <v>0</v>
      </c>
    </row>
    <row r="29" spans="2:3" x14ac:dyDescent="0.3">
      <c r="B29" t="str">
        <v>อกไก่</v>
      </c>
      <c r="C29">
        <f>VLOOKUP(B29,Ingredient!E:K,7,FALSE)</f>
        <v>0</v>
      </c>
    </row>
    <row r="30" spans="2:3" x14ac:dyDescent="0.3">
      <c r="B30" t="str">
        <v>กุ้ง</v>
      </c>
      <c r="C30">
        <f>VLOOKUP(B30,Ingredient!E:K,7,FALSE)</f>
        <v>0</v>
      </c>
    </row>
    <row r="31" spans="2:3" x14ac:dyDescent="0.3">
      <c r="B31" t="str">
        <v>ปลานิล</v>
      </c>
      <c r="C31">
        <f>VLOOKUP(B31,Ingredient!E:K,7,FALSE)</f>
        <v>0</v>
      </c>
    </row>
    <row r="32" spans="2:3" x14ac:dyDescent="0.3">
      <c r="B32" t="str">
        <v>เต้าหู้หลอด</v>
      </c>
      <c r="C32">
        <f>VLOOKUP(B32,Ingredient!E:K,7,FALSE)</f>
        <v>0</v>
      </c>
    </row>
    <row r="33" spans="2:3" x14ac:dyDescent="0.3">
      <c r="B33" t="str">
        <v>กะหล่ำปลี</v>
      </c>
      <c r="C33">
        <f>VLOOKUP(B33,Ingredient!E:K,7,FALSE)</f>
        <v>0</v>
      </c>
    </row>
    <row r="34" spans="2:3" x14ac:dyDescent="0.3">
      <c r="B34" t="str">
        <v>หอมใหญ่</v>
      </c>
      <c r="C34">
        <f>VLOOKUP(B34,Ingredient!E:K,7,FALSE)</f>
        <v>0</v>
      </c>
    </row>
    <row r="35" spans="2:3" x14ac:dyDescent="0.3">
      <c r="B35" t="str">
        <v>มะเขือเปราะ</v>
      </c>
      <c r="C35">
        <f>VLOOKUP(B35,Ingredient!E:K,7,FALSE)</f>
        <v>0</v>
      </c>
    </row>
    <row r="36" spans="2:3" x14ac:dyDescent="0.3">
      <c r="B36" t="str">
        <v>ฟักทอง</v>
      </c>
      <c r="C36">
        <f>VLOOKUP(B36,Ingredient!E:K,7,FALSE)</f>
        <v>0</v>
      </c>
    </row>
    <row r="37" spans="2:3" x14ac:dyDescent="0.3">
      <c r="B37" t="str">
        <v>ขิง</v>
      </c>
      <c r="C37">
        <f>VLOOKUP(B37,Ingredient!E:K,7,FALSE)</f>
        <v>0</v>
      </c>
    </row>
    <row r="38" spans="2:3" x14ac:dyDescent="0.3">
      <c r="B38" t="str">
        <v>เห็ด</v>
      </c>
      <c r="C38">
        <f>VLOOKUP(B38,Ingredient!E:K,7,FALSE)</f>
        <v>0</v>
      </c>
    </row>
    <row r="39" spans="2:3" x14ac:dyDescent="0.3">
      <c r="B39" t="str">
        <v>พริกแกงเขียวหวาน</v>
      </c>
      <c r="C39">
        <f>VLOOKUP(B39,Ingredient!E:K,7,FALSE)</f>
        <v>0</v>
      </c>
    </row>
    <row r="40" spans="2:3" x14ac:dyDescent="0.3">
      <c r="B40" t="str">
        <v>พริกแกงส้ม</v>
      </c>
      <c r="C40">
        <f>VLOOKUP(B40,Ingredient!E:K,7,FALSE)</f>
        <v>0</v>
      </c>
    </row>
    <row r="41" spans="2:3" x14ac:dyDescent="0.3">
      <c r="B41" t="str">
        <v>น้ำพริกเผา</v>
      </c>
      <c r="C41">
        <f>VLOOKUP(B41,Ingredient!E:K,7,FALSE)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F888-11CB-4EC5-96DE-60775ECD23F8}">
  <dimension ref="A1:K85"/>
  <sheetViews>
    <sheetView tabSelected="1" topLeftCell="A49" workbookViewId="0">
      <selection activeCell="I53" sqref="I53"/>
    </sheetView>
  </sheetViews>
  <sheetFormatPr defaultRowHeight="20" x14ac:dyDescent="0.6"/>
  <cols>
    <col min="1" max="1" width="8.6640625" style="5"/>
    <col min="2" max="3" width="8.6640625" style="3"/>
    <col min="4" max="4" width="10.58203125" style="5" customWidth="1"/>
    <col min="5" max="5" width="30.9140625" style="4" customWidth="1"/>
    <col min="6" max="16384" width="8.6640625" style="5"/>
  </cols>
  <sheetData>
    <row r="1" spans="1:11" x14ac:dyDescent="0.6">
      <c r="E1" s="4" t="s">
        <v>118</v>
      </c>
      <c r="F1" s="5" t="s">
        <v>200</v>
      </c>
      <c r="H1" s="5" t="s">
        <v>102</v>
      </c>
      <c r="I1" s="5" t="s">
        <v>0</v>
      </c>
      <c r="J1" s="5" t="s">
        <v>201</v>
      </c>
      <c r="K1" s="5" t="s">
        <v>230</v>
      </c>
    </row>
    <row r="2" spans="1:11" x14ac:dyDescent="0.6">
      <c r="A2" s="5" t="str">
        <f>INDEX(Classify!C:C,MATCH(Ingredient!B2,Classify!A:A,0))</f>
        <v>LSS</v>
      </c>
      <c r="B2" s="3" t="s">
        <v>2</v>
      </c>
      <c r="C2" s="3" t="s">
        <v>129</v>
      </c>
      <c r="D2" s="5" t="str">
        <f>_xlfn.TEXTJOIN("_",FALSE,A2,B2,C2,)</f>
        <v>LSS_001_1_</v>
      </c>
      <c r="E2" s="4" t="s">
        <v>24</v>
      </c>
      <c r="F2" s="5" t="s">
        <v>62</v>
      </c>
      <c r="H2" s="5">
        <v>1</v>
      </c>
      <c r="I2" s="5">
        <v>0</v>
      </c>
      <c r="K2" s="5">
        <v>30</v>
      </c>
    </row>
    <row r="3" spans="1:11" x14ac:dyDescent="0.6">
      <c r="A3" s="5" t="str">
        <f>INDEX(Classify!C:C,MATCH(Ingredient!B3,Classify!A:A,0))</f>
        <v>LSS</v>
      </c>
      <c r="B3" s="3" t="s">
        <v>2</v>
      </c>
      <c r="C3" s="3" t="s">
        <v>130</v>
      </c>
      <c r="D3" s="5" t="str">
        <f t="shared" ref="D3:D79" si="0">_xlfn.TEXTJOIN("_",FALSE,A3,B3,C3,)</f>
        <v>LSS_001_2_</v>
      </c>
      <c r="E3" s="6" t="s">
        <v>25</v>
      </c>
      <c r="F3" s="5" t="s">
        <v>63</v>
      </c>
      <c r="H3" s="5">
        <v>0</v>
      </c>
      <c r="I3" s="5">
        <v>0</v>
      </c>
      <c r="K3" s="5">
        <v>40</v>
      </c>
    </row>
    <row r="4" spans="1:11" x14ac:dyDescent="0.6">
      <c r="A4" s="5" t="str">
        <f>INDEX(Classify!C:C,MATCH(Ingredient!B4,Classify!A:A,0))</f>
        <v>LSS</v>
      </c>
      <c r="B4" s="3" t="s">
        <v>2</v>
      </c>
      <c r="C4" s="3" t="s">
        <v>131</v>
      </c>
      <c r="D4" s="5" t="str">
        <f t="shared" si="0"/>
        <v>LSS_001_3_</v>
      </c>
      <c r="E4" s="6" t="s">
        <v>26</v>
      </c>
      <c r="F4" s="5" t="s">
        <v>64</v>
      </c>
      <c r="H4" s="5">
        <v>0</v>
      </c>
      <c r="I4" s="5">
        <v>0</v>
      </c>
      <c r="K4" s="5">
        <v>30</v>
      </c>
    </row>
    <row r="5" spans="1:11" x14ac:dyDescent="0.6">
      <c r="A5" s="5" t="str">
        <f>INDEX(Classify!C:C,MATCH(Ingredient!B5,Classify!A:A,0))</f>
        <v>LSS</v>
      </c>
      <c r="B5" s="3" t="s">
        <v>2</v>
      </c>
      <c r="C5" s="3" t="s">
        <v>132</v>
      </c>
      <c r="D5" s="5" t="str">
        <f t="shared" si="0"/>
        <v>LSS_001_4_</v>
      </c>
      <c r="E5" s="6" t="s">
        <v>27</v>
      </c>
      <c r="F5" s="5" t="s">
        <v>65</v>
      </c>
      <c r="H5" s="5">
        <v>1</v>
      </c>
      <c r="I5" s="5">
        <v>0</v>
      </c>
      <c r="K5" s="5">
        <v>40</v>
      </c>
    </row>
    <row r="6" spans="1:11" x14ac:dyDescent="0.6">
      <c r="A6" s="5" t="str">
        <f>INDEX(Classify!C:C,MATCH(Ingredient!B6,Classify!A:A,0))</f>
        <v>LSS</v>
      </c>
      <c r="B6" s="3" t="s">
        <v>2</v>
      </c>
      <c r="C6" s="3" t="s">
        <v>133</v>
      </c>
      <c r="D6" s="5" t="str">
        <f t="shared" si="0"/>
        <v>LSS_001_5_</v>
      </c>
      <c r="E6" s="6" t="s">
        <v>28</v>
      </c>
      <c r="F6" s="5" t="s">
        <v>66</v>
      </c>
      <c r="H6" s="5">
        <v>1</v>
      </c>
      <c r="I6" s="5">
        <v>0</v>
      </c>
      <c r="K6" s="5">
        <v>10</v>
      </c>
    </row>
    <row r="7" spans="1:11" x14ac:dyDescent="0.6">
      <c r="A7" s="5" t="str">
        <f>INDEX(Classify!C:C,MATCH(Ingredient!B7,Classify!A:A,0))</f>
        <v>LSS</v>
      </c>
      <c r="B7" s="3" t="s">
        <v>2</v>
      </c>
      <c r="C7" s="3" t="s">
        <v>134</v>
      </c>
      <c r="D7" s="5" t="str">
        <f t="shared" si="0"/>
        <v>LSS_001_6_</v>
      </c>
      <c r="E7" s="6" t="s">
        <v>29</v>
      </c>
      <c r="F7" s="5" t="s">
        <v>67</v>
      </c>
      <c r="H7" s="5">
        <v>1</v>
      </c>
      <c r="I7" s="5">
        <v>0</v>
      </c>
      <c r="K7" s="5">
        <v>20</v>
      </c>
    </row>
    <row r="8" spans="1:11" x14ac:dyDescent="0.6">
      <c r="A8" s="5" t="str">
        <f>INDEX(Classify!C:C,MATCH(Ingredient!B8,Classify!A:A,0))</f>
        <v>LSS</v>
      </c>
      <c r="B8" s="3" t="s">
        <v>2</v>
      </c>
      <c r="C8" s="3" t="s">
        <v>135</v>
      </c>
      <c r="D8" s="5" t="str">
        <f t="shared" si="0"/>
        <v>LSS_001_7_</v>
      </c>
      <c r="E8" s="6" t="s">
        <v>100</v>
      </c>
      <c r="F8" s="5" t="s">
        <v>101</v>
      </c>
      <c r="H8" s="5">
        <v>1</v>
      </c>
      <c r="I8" s="5">
        <v>0</v>
      </c>
    </row>
    <row r="9" spans="1:11" x14ac:dyDescent="0.6">
      <c r="A9" s="5" t="e">
        <f>INDEX(Classify!C:C,MATCH(Ingredient!B9,Classify!A:A,0))</f>
        <v>#N/A</v>
      </c>
      <c r="C9" s="3" t="s">
        <v>136</v>
      </c>
      <c r="D9" s="5" t="e">
        <f t="shared" si="0"/>
        <v>#N/A</v>
      </c>
      <c r="E9" s="6"/>
      <c r="I9" s="5">
        <v>1</v>
      </c>
    </row>
    <row r="10" spans="1:11" x14ac:dyDescent="0.6">
      <c r="A10" s="5" t="str">
        <f>INDEX(Classify!C:C,MATCH(Ingredient!B10,Classify!A:A,0))</f>
        <v>DSS</v>
      </c>
      <c r="B10" s="3" t="s">
        <v>4</v>
      </c>
      <c r="C10" s="3" t="s">
        <v>137</v>
      </c>
      <c r="D10" s="5" t="str">
        <f t="shared" si="0"/>
        <v>DSS_002_9_</v>
      </c>
      <c r="E10" s="4" t="s">
        <v>30</v>
      </c>
      <c r="F10" s="5" t="s">
        <v>68</v>
      </c>
      <c r="H10" s="5">
        <v>1</v>
      </c>
      <c r="I10" s="5">
        <v>0</v>
      </c>
    </row>
    <row r="11" spans="1:11" x14ac:dyDescent="0.6">
      <c r="A11" s="5" t="str">
        <f>INDEX(Classify!C:C,MATCH(Ingredient!B11,Classify!A:A,0))</f>
        <v>DSS</v>
      </c>
      <c r="B11" s="3" t="s">
        <v>4</v>
      </c>
      <c r="C11" s="3" t="s">
        <v>138</v>
      </c>
      <c r="D11" s="5" t="str">
        <f t="shared" si="0"/>
        <v>DSS_002_10_</v>
      </c>
      <c r="E11" s="6" t="s">
        <v>31</v>
      </c>
      <c r="F11" s="5" t="s">
        <v>69</v>
      </c>
      <c r="H11" s="5">
        <v>1</v>
      </c>
      <c r="I11" s="5">
        <v>0</v>
      </c>
    </row>
    <row r="12" spans="1:11" x14ac:dyDescent="0.6">
      <c r="A12" s="5" t="str">
        <f>INDEX(Classify!C:C,MATCH(Ingredient!B12,Classify!A:A,0))</f>
        <v>DSS</v>
      </c>
      <c r="B12" s="3" t="s">
        <v>4</v>
      </c>
      <c r="C12" s="3" t="s">
        <v>139</v>
      </c>
      <c r="D12" s="5" t="str">
        <f t="shared" si="0"/>
        <v>DSS_002_11_</v>
      </c>
      <c r="E12" s="6" t="s">
        <v>96</v>
      </c>
      <c r="F12" s="5" t="s">
        <v>98</v>
      </c>
      <c r="H12" s="5">
        <v>1</v>
      </c>
      <c r="I12" s="5">
        <v>0</v>
      </c>
    </row>
    <row r="13" spans="1:11" x14ac:dyDescent="0.6">
      <c r="A13" s="5" t="str">
        <f>INDEX(Classify!C:C,MATCH(Ingredient!B13,Classify!A:A,0))</f>
        <v>DSS</v>
      </c>
      <c r="B13" s="3" t="s">
        <v>4</v>
      </c>
      <c r="C13" s="3" t="s">
        <v>140</v>
      </c>
      <c r="D13" s="5" t="str">
        <f t="shared" si="0"/>
        <v>DSS_002_12_</v>
      </c>
      <c r="E13" s="6" t="s">
        <v>97</v>
      </c>
      <c r="F13" s="5" t="s">
        <v>99</v>
      </c>
      <c r="H13" s="5">
        <v>0</v>
      </c>
      <c r="I13" s="5">
        <v>0</v>
      </c>
    </row>
    <row r="14" spans="1:11" x14ac:dyDescent="0.6">
      <c r="A14" s="5" t="str">
        <f>INDEX(Classify!C:C,MATCH(Ingredient!B14,Classify!A:A,0))</f>
        <v>DSS</v>
      </c>
      <c r="B14" s="3" t="s">
        <v>4</v>
      </c>
      <c r="C14" s="3" t="s">
        <v>141</v>
      </c>
      <c r="D14" s="5" t="str">
        <f t="shared" si="0"/>
        <v>DSS_002_13_</v>
      </c>
      <c r="E14" s="6" t="s">
        <v>32</v>
      </c>
      <c r="F14" s="5" t="s">
        <v>70</v>
      </c>
      <c r="H14" s="5">
        <v>1</v>
      </c>
      <c r="I14" s="5">
        <v>5</v>
      </c>
    </row>
    <row r="15" spans="1:11" x14ac:dyDescent="0.6">
      <c r="A15" s="5" t="str">
        <f>INDEX(Classify!C:C,MATCH(Ingredient!B15,Classify!A:A,0))</f>
        <v>DSS</v>
      </c>
      <c r="B15" s="3" t="s">
        <v>4</v>
      </c>
      <c r="C15" s="3" t="s">
        <v>142</v>
      </c>
      <c r="D15" s="5" t="str">
        <f t="shared" si="0"/>
        <v>DSS_002_14_</v>
      </c>
      <c r="E15" s="6" t="s">
        <v>33</v>
      </c>
      <c r="F15" s="5" t="s">
        <v>71</v>
      </c>
      <c r="H15" s="5">
        <v>0</v>
      </c>
      <c r="I15" s="5">
        <v>0</v>
      </c>
    </row>
    <row r="16" spans="1:11" x14ac:dyDescent="0.6">
      <c r="A16" s="5" t="str">
        <f>INDEX(Classify!C:C,MATCH(Ingredient!B16,Classify!A:A,0))</f>
        <v>DSS</v>
      </c>
      <c r="B16" s="3" t="s">
        <v>4</v>
      </c>
      <c r="C16" s="3" t="s">
        <v>143</v>
      </c>
      <c r="D16" s="5" t="str">
        <f t="shared" si="0"/>
        <v>DSS_002_15_</v>
      </c>
      <c r="E16" s="6" t="s">
        <v>34</v>
      </c>
      <c r="F16" s="5" t="s">
        <v>72</v>
      </c>
      <c r="H16" s="5">
        <v>1</v>
      </c>
      <c r="I16" s="5">
        <v>1</v>
      </c>
    </row>
    <row r="17" spans="1:9" x14ac:dyDescent="0.6">
      <c r="A17" s="5" t="str">
        <f>INDEX(Classify!C:C,MATCH(Ingredient!B17,Classify!A:A,0))</f>
        <v>DSS</v>
      </c>
      <c r="B17" s="3" t="s">
        <v>4</v>
      </c>
      <c r="C17" s="3" t="s">
        <v>144</v>
      </c>
      <c r="D17" s="5" t="str">
        <f t="shared" si="0"/>
        <v>DSS_002_16_</v>
      </c>
      <c r="E17" s="6" t="s">
        <v>35</v>
      </c>
      <c r="F17" s="5" t="s">
        <v>73</v>
      </c>
      <c r="H17" s="5">
        <v>0</v>
      </c>
      <c r="I17" s="5">
        <v>0</v>
      </c>
    </row>
    <row r="18" spans="1:9" x14ac:dyDescent="0.6">
      <c r="A18" s="5" t="e">
        <f>INDEX(Classify!C:C,MATCH(Ingredient!B18,Classify!A:A,0))</f>
        <v>#N/A</v>
      </c>
      <c r="C18" s="3" t="s">
        <v>145</v>
      </c>
      <c r="D18" s="5" t="e">
        <f t="shared" si="0"/>
        <v>#N/A</v>
      </c>
      <c r="E18" s="6"/>
      <c r="I18" s="5">
        <v>1</v>
      </c>
    </row>
    <row r="19" spans="1:9" x14ac:dyDescent="0.6">
      <c r="A19" s="5" t="str">
        <f>INDEX(Classify!C:C,MATCH(Ingredient!B19,Classify!A:A,0))</f>
        <v>FHB</v>
      </c>
      <c r="B19" s="3" t="s">
        <v>6</v>
      </c>
      <c r="C19" s="3" t="s">
        <v>146</v>
      </c>
      <c r="D19" s="5" t="str">
        <f t="shared" si="0"/>
        <v>FHB_003_18_</v>
      </c>
      <c r="E19" s="4" t="s">
        <v>36</v>
      </c>
      <c r="F19" s="5" t="s">
        <v>74</v>
      </c>
      <c r="H19" s="5">
        <v>1</v>
      </c>
      <c r="I19" s="5">
        <v>8</v>
      </c>
    </row>
    <row r="20" spans="1:9" x14ac:dyDescent="0.6">
      <c r="A20" s="5" t="str">
        <f>INDEX(Classify!C:C,MATCH(Ingredient!B20,Classify!A:A,0))</f>
        <v>FHB</v>
      </c>
      <c r="B20" s="3" t="s">
        <v>6</v>
      </c>
      <c r="C20" s="3" t="s">
        <v>147</v>
      </c>
      <c r="D20" s="5" t="str">
        <f t="shared" si="0"/>
        <v>FHB_003_19_</v>
      </c>
      <c r="E20" s="4" t="s">
        <v>37</v>
      </c>
      <c r="F20" s="5" t="s">
        <v>75</v>
      </c>
      <c r="H20" s="5">
        <v>1</v>
      </c>
      <c r="I20" s="5">
        <v>4</v>
      </c>
    </row>
    <row r="21" spans="1:9" x14ac:dyDescent="0.6">
      <c r="A21" s="5" t="str">
        <f>INDEX(Classify!C:C,MATCH(Ingredient!B21,Classify!A:A,0))</f>
        <v>FHB</v>
      </c>
      <c r="B21" s="3" t="s">
        <v>6</v>
      </c>
      <c r="C21" s="3" t="s">
        <v>148</v>
      </c>
      <c r="D21" s="5" t="str">
        <f t="shared" si="0"/>
        <v>FHB_003_20_</v>
      </c>
      <c r="E21" s="4" t="s">
        <v>38</v>
      </c>
      <c r="F21" s="5" t="s">
        <v>76</v>
      </c>
      <c r="H21" s="5">
        <v>1</v>
      </c>
      <c r="I21" s="5">
        <v>0</v>
      </c>
    </row>
    <row r="22" spans="1:9" x14ac:dyDescent="0.6">
      <c r="A22" s="5" t="str">
        <f>INDEX(Classify!C:C,MATCH(Ingredient!B22,Classify!A:A,0))</f>
        <v>FHB</v>
      </c>
      <c r="B22" s="3" t="s">
        <v>6</v>
      </c>
      <c r="C22" s="3" t="s">
        <v>149</v>
      </c>
      <c r="D22" s="5" t="str">
        <f t="shared" si="0"/>
        <v>FHB_003_21_</v>
      </c>
      <c r="E22" s="4" t="s">
        <v>39</v>
      </c>
      <c r="F22" s="5" t="s">
        <v>77</v>
      </c>
      <c r="I22" s="5">
        <v>1</v>
      </c>
    </row>
    <row r="23" spans="1:9" x14ac:dyDescent="0.6">
      <c r="A23" s="5" t="str">
        <f>INDEX(Classify!C:C,MATCH(Ingredient!B23,Classify!A:A,0))</f>
        <v>FHB</v>
      </c>
      <c r="B23" s="3" t="s">
        <v>6</v>
      </c>
      <c r="C23" s="3" t="s">
        <v>150</v>
      </c>
      <c r="D23" s="5" t="str">
        <f t="shared" si="0"/>
        <v>FHB_003_22_</v>
      </c>
      <c r="E23" s="4" t="s">
        <v>40</v>
      </c>
      <c r="F23" s="5" t="s">
        <v>78</v>
      </c>
      <c r="I23" s="5">
        <v>1</v>
      </c>
    </row>
    <row r="24" spans="1:9" x14ac:dyDescent="0.6">
      <c r="A24" s="5" t="str">
        <f>INDEX(Classify!C:C,MATCH(Ingredient!B24,Classify!A:A,0))</f>
        <v>FHB</v>
      </c>
      <c r="B24" s="3" t="s">
        <v>6</v>
      </c>
      <c r="C24" s="3" t="s">
        <v>151</v>
      </c>
      <c r="D24" s="5" t="str">
        <f t="shared" si="0"/>
        <v>FHB_003_23_</v>
      </c>
      <c r="E24" s="4" t="s">
        <v>41</v>
      </c>
      <c r="F24" s="5" t="s">
        <v>79</v>
      </c>
      <c r="I24" s="5">
        <v>1</v>
      </c>
    </row>
    <row r="25" spans="1:9" x14ac:dyDescent="0.6">
      <c r="A25" s="5" t="str">
        <f>INDEX(Classify!C:C,MATCH(Ingredient!B25,Classify!A:A,0))</f>
        <v>FHB</v>
      </c>
      <c r="B25" s="3" t="s">
        <v>6</v>
      </c>
      <c r="C25" s="3" t="s">
        <v>152</v>
      </c>
      <c r="D25" s="5" t="str">
        <f t="shared" si="0"/>
        <v>FHB_003_24_</v>
      </c>
      <c r="E25" s="4" t="s">
        <v>42</v>
      </c>
      <c r="F25" s="5" t="s">
        <v>80</v>
      </c>
      <c r="I25" s="5">
        <v>1</v>
      </c>
    </row>
    <row r="26" spans="1:9" x14ac:dyDescent="0.6">
      <c r="A26" s="5" t="str">
        <f>INDEX(Classify!C:C,MATCH(Ingredient!B26,Classify!A:A,0))</f>
        <v>FHB</v>
      </c>
      <c r="B26" s="3" t="s">
        <v>6</v>
      </c>
      <c r="C26" s="3" t="s">
        <v>153</v>
      </c>
      <c r="D26" s="5" t="str">
        <f t="shared" si="0"/>
        <v>FHB_003_25_</v>
      </c>
      <c r="E26" s="4" t="s">
        <v>43</v>
      </c>
      <c r="F26" s="5" t="s">
        <v>81</v>
      </c>
      <c r="I26" s="5">
        <v>1</v>
      </c>
    </row>
    <row r="27" spans="1:9" x14ac:dyDescent="0.6">
      <c r="A27" s="5" t="str">
        <f>INDEX(Classify!C:C,MATCH(Ingredient!B27,Classify!A:A,0))</f>
        <v>FHB</v>
      </c>
      <c r="B27" s="3" t="s">
        <v>6</v>
      </c>
      <c r="C27" s="3" t="s">
        <v>154</v>
      </c>
      <c r="D27" s="5" t="str">
        <f t="shared" si="0"/>
        <v>FHB_003_26_</v>
      </c>
      <c r="E27" s="4" t="s">
        <v>44</v>
      </c>
      <c r="F27" s="5" t="s">
        <v>82</v>
      </c>
      <c r="I27" s="5">
        <v>0</v>
      </c>
    </row>
    <row r="28" spans="1:9" x14ac:dyDescent="0.6">
      <c r="A28" s="5" t="str">
        <f>INDEX(Classify!C:C,MATCH(Ingredient!B28,Classify!A:A,0))</f>
        <v>FHB</v>
      </c>
      <c r="B28" s="3" t="s">
        <v>6</v>
      </c>
      <c r="C28" s="3" t="s">
        <v>155</v>
      </c>
      <c r="D28" s="5" t="str">
        <f t="shared" si="0"/>
        <v>FHB_003_27_</v>
      </c>
      <c r="E28" s="4" t="s">
        <v>45</v>
      </c>
      <c r="F28" s="5" t="s">
        <v>83</v>
      </c>
      <c r="I28" s="5">
        <v>1</v>
      </c>
    </row>
    <row r="29" spans="1:9" x14ac:dyDescent="0.6">
      <c r="A29" s="5" t="e">
        <f>INDEX(Classify!C:C,MATCH(Ingredient!B29,Classify!A:A,0))</f>
        <v>#N/A</v>
      </c>
      <c r="C29" s="3" t="s">
        <v>156</v>
      </c>
      <c r="D29" s="5" t="e">
        <f t="shared" si="0"/>
        <v>#N/A</v>
      </c>
      <c r="I29" s="5">
        <v>1</v>
      </c>
    </row>
    <row r="30" spans="1:9" x14ac:dyDescent="0.6">
      <c r="A30" s="5" t="str">
        <f>INDEX(Classify!C:C,MATCH(Ingredient!B30,Classify!A:A,0))</f>
        <v>DHB</v>
      </c>
      <c r="B30" s="3" t="s">
        <v>8</v>
      </c>
      <c r="C30" s="3" t="s">
        <v>157</v>
      </c>
      <c r="D30" s="5" t="str">
        <f t="shared" si="0"/>
        <v>DHB_004_29_</v>
      </c>
      <c r="E30" s="4" t="s">
        <v>46</v>
      </c>
      <c r="F30" s="5" t="s">
        <v>84</v>
      </c>
      <c r="H30" s="5">
        <v>1</v>
      </c>
      <c r="I30" s="5">
        <v>0</v>
      </c>
    </row>
    <row r="31" spans="1:9" x14ac:dyDescent="0.6">
      <c r="A31" s="5" t="str">
        <f>INDEX(Classify!C:C,MATCH(Ingredient!B31,Classify!A:A,0))</f>
        <v>DHB</v>
      </c>
      <c r="B31" s="3" t="s">
        <v>8</v>
      </c>
      <c r="C31" s="3" t="s">
        <v>158</v>
      </c>
      <c r="D31" s="5" t="str">
        <f t="shared" si="0"/>
        <v>DHB_004_30_</v>
      </c>
      <c r="E31" s="4" t="s">
        <v>47</v>
      </c>
      <c r="F31" s="5" t="s">
        <v>85</v>
      </c>
      <c r="I31" s="5">
        <v>1</v>
      </c>
    </row>
    <row r="32" spans="1:9" x14ac:dyDescent="0.6">
      <c r="A32" s="5" t="str">
        <f>INDEX(Classify!C:C,MATCH(Ingredient!B32,Classify!A:A,0))</f>
        <v>DHB</v>
      </c>
      <c r="B32" s="3" t="s">
        <v>8</v>
      </c>
      <c r="C32" s="3" t="s">
        <v>159</v>
      </c>
      <c r="D32" s="5" t="str">
        <f t="shared" si="0"/>
        <v>DHB_004_31_</v>
      </c>
      <c r="E32" s="4" t="s">
        <v>48</v>
      </c>
      <c r="F32" s="5" t="s">
        <v>86</v>
      </c>
      <c r="H32" s="5">
        <v>1</v>
      </c>
      <c r="I32" s="5">
        <v>0</v>
      </c>
    </row>
    <row r="33" spans="1:9" x14ac:dyDescent="0.6">
      <c r="A33" s="5" t="str">
        <f>INDEX(Classify!C:C,MATCH(Ingredient!B33,Classify!A:A,0))</f>
        <v>DHB</v>
      </c>
      <c r="B33" s="3" t="s">
        <v>8</v>
      </c>
      <c r="C33" s="3" t="s">
        <v>160</v>
      </c>
      <c r="D33" s="5" t="str">
        <f t="shared" si="0"/>
        <v>DHB_004_32_</v>
      </c>
      <c r="E33" s="4" t="s">
        <v>49</v>
      </c>
      <c r="F33" s="5" t="s">
        <v>87</v>
      </c>
      <c r="H33" s="5">
        <v>0</v>
      </c>
      <c r="I33" s="5">
        <v>0</v>
      </c>
    </row>
    <row r="34" spans="1:9" x14ac:dyDescent="0.6">
      <c r="A34" s="5" t="str">
        <f>INDEX(Classify!C:C,MATCH(Ingredient!B34,Classify!A:A,0))</f>
        <v>DHB</v>
      </c>
      <c r="B34" s="3" t="s">
        <v>8</v>
      </c>
      <c r="C34" s="3" t="s">
        <v>161</v>
      </c>
      <c r="D34" s="5" t="str">
        <f t="shared" si="0"/>
        <v>DHB_004_33_</v>
      </c>
      <c r="E34" s="4" t="s">
        <v>50</v>
      </c>
      <c r="F34" s="5" t="s">
        <v>88</v>
      </c>
      <c r="I34" s="5">
        <v>1</v>
      </c>
    </row>
    <row r="35" spans="1:9" x14ac:dyDescent="0.6">
      <c r="A35" s="5" t="e">
        <f>INDEX(Classify!C:C,MATCH(Ingredient!B35,Classify!A:A,0))</f>
        <v>#N/A</v>
      </c>
      <c r="C35" s="3" t="s">
        <v>162</v>
      </c>
      <c r="D35" s="5" t="e">
        <f t="shared" si="0"/>
        <v>#N/A</v>
      </c>
      <c r="I35" s="5">
        <v>1</v>
      </c>
    </row>
    <row r="36" spans="1:9" x14ac:dyDescent="0.6">
      <c r="A36" s="5" t="str">
        <f>INDEX(Classify!C:C,MATCH(Ingredient!B36,Classify!A:A,0))</f>
        <v>OLF</v>
      </c>
      <c r="B36" s="3" t="s">
        <v>10</v>
      </c>
      <c r="C36" s="3" t="s">
        <v>163</v>
      </c>
      <c r="D36" s="5" t="str">
        <f t="shared" si="0"/>
        <v>OLF_005_35_</v>
      </c>
      <c r="E36" s="4" t="s">
        <v>51</v>
      </c>
      <c r="F36" s="5" t="s">
        <v>89</v>
      </c>
      <c r="H36" s="5">
        <v>1</v>
      </c>
      <c r="I36" s="5">
        <v>0</v>
      </c>
    </row>
    <row r="37" spans="1:9" x14ac:dyDescent="0.6">
      <c r="A37" s="5" t="str">
        <f>INDEX(Classify!C:C,MATCH(Ingredient!B37,Classify!A:A,0))</f>
        <v>OLF</v>
      </c>
      <c r="B37" s="3" t="s">
        <v>10</v>
      </c>
      <c r="C37" s="3" t="s">
        <v>164</v>
      </c>
      <c r="D37" s="5" t="str">
        <f t="shared" si="0"/>
        <v>OLF_005_36_</v>
      </c>
      <c r="E37" s="6" t="s">
        <v>52</v>
      </c>
      <c r="F37" s="5" t="s">
        <v>90</v>
      </c>
      <c r="H37" s="5">
        <v>1</v>
      </c>
      <c r="I37" s="5">
        <v>0</v>
      </c>
    </row>
    <row r="38" spans="1:9" x14ac:dyDescent="0.6">
      <c r="A38" s="5" t="str">
        <f>INDEX(Classify!C:C,MATCH(Ingredient!B38,Classify!A:A,0))</f>
        <v>OLF</v>
      </c>
      <c r="B38" s="3" t="s">
        <v>10</v>
      </c>
      <c r="C38" s="3" t="s">
        <v>165</v>
      </c>
      <c r="D38" s="5" t="str">
        <f t="shared" si="0"/>
        <v>OLF_005_37_</v>
      </c>
      <c r="E38" s="6" t="s">
        <v>53</v>
      </c>
      <c r="F38" s="5" t="s">
        <v>91</v>
      </c>
      <c r="H38" s="5">
        <v>0</v>
      </c>
      <c r="I38" s="5">
        <v>0</v>
      </c>
    </row>
    <row r="39" spans="1:9" x14ac:dyDescent="0.6">
      <c r="A39" s="5" t="e">
        <f>INDEX(Classify!C:C,MATCH(Ingredient!B39,Classify!A:A,0))</f>
        <v>#N/A</v>
      </c>
      <c r="C39" s="3" t="s">
        <v>166</v>
      </c>
      <c r="D39" s="5" t="e">
        <f t="shared" si="0"/>
        <v>#N/A</v>
      </c>
      <c r="E39" s="6"/>
      <c r="I39" s="5">
        <v>1</v>
      </c>
    </row>
    <row r="40" spans="1:9" x14ac:dyDescent="0.6">
      <c r="A40" s="5" t="str">
        <f>INDEX(Classify!C:C,MATCH(Ingredient!B40,Classify!A:A,0))</f>
        <v>FLO</v>
      </c>
      <c r="B40" s="3" t="s">
        <v>12</v>
      </c>
      <c r="C40" s="3" t="s">
        <v>167</v>
      </c>
      <c r="D40" s="5" t="str">
        <f t="shared" si="0"/>
        <v>FLO_006_39_</v>
      </c>
      <c r="E40" s="4" t="s">
        <v>54</v>
      </c>
      <c r="F40" s="5" t="s">
        <v>92</v>
      </c>
      <c r="H40" s="5">
        <v>1</v>
      </c>
      <c r="I40" s="5">
        <v>0</v>
      </c>
    </row>
    <row r="41" spans="1:9" x14ac:dyDescent="0.6">
      <c r="A41" s="5" t="str">
        <f>INDEX(Classify!C:C,MATCH(Ingredient!B41,Classify!A:A,0))</f>
        <v>FLO</v>
      </c>
      <c r="B41" s="3" t="s">
        <v>12</v>
      </c>
      <c r="C41" s="3" t="s">
        <v>168</v>
      </c>
      <c r="D41" s="5" t="str">
        <f t="shared" si="0"/>
        <v>FLO_006_40_</v>
      </c>
      <c r="E41" s="4" t="s">
        <v>55</v>
      </c>
      <c r="F41" s="5" t="s">
        <v>93</v>
      </c>
      <c r="H41" s="5">
        <v>1</v>
      </c>
      <c r="I41" s="5">
        <v>0</v>
      </c>
    </row>
    <row r="42" spans="1:9" x14ac:dyDescent="0.6">
      <c r="A42" s="5" t="str">
        <f>INDEX(Classify!C:C,MATCH(Ingredient!B42,Classify!A:A,0))</f>
        <v>FLO</v>
      </c>
      <c r="B42" s="3" t="s">
        <v>12</v>
      </c>
      <c r="C42" s="3" t="s">
        <v>169</v>
      </c>
      <c r="D42" s="5" t="str">
        <f t="shared" si="0"/>
        <v>FLO_006_41_</v>
      </c>
      <c r="E42" s="4" t="s">
        <v>56</v>
      </c>
      <c r="F42" s="5" t="s">
        <v>94</v>
      </c>
      <c r="H42" s="5">
        <v>1</v>
      </c>
      <c r="I42" s="5">
        <v>0</v>
      </c>
    </row>
    <row r="43" spans="1:9" x14ac:dyDescent="0.6">
      <c r="A43" s="5" t="str">
        <f>INDEX(Classify!C:C,MATCH(Ingredient!B43,Classify!A:A,0))</f>
        <v>FLO</v>
      </c>
      <c r="B43" s="3" t="s">
        <v>12</v>
      </c>
      <c r="C43" s="3" t="s">
        <v>170</v>
      </c>
      <c r="D43" s="5" t="str">
        <f t="shared" si="0"/>
        <v>FLO_006_42_</v>
      </c>
      <c r="E43" s="4" t="s">
        <v>57</v>
      </c>
      <c r="F43" s="5" t="s">
        <v>95</v>
      </c>
      <c r="H43" s="5">
        <v>0</v>
      </c>
      <c r="I43" s="5">
        <v>0</v>
      </c>
    </row>
    <row r="44" spans="1:9" x14ac:dyDescent="0.6">
      <c r="A44" s="5" t="e">
        <f>INDEX(Classify!C:C,MATCH(Ingredient!B44,Classify!A:A,0))</f>
        <v>#N/A</v>
      </c>
      <c r="C44" s="3" t="s">
        <v>171</v>
      </c>
      <c r="D44" s="5" t="e">
        <f t="shared" si="0"/>
        <v>#N/A</v>
      </c>
      <c r="I44" s="5">
        <v>1</v>
      </c>
    </row>
    <row r="45" spans="1:9" x14ac:dyDescent="0.6">
      <c r="A45" s="5" t="str">
        <f>INDEX(Classify!C:C,MATCH(Ingredient!B45,Classify!A:A,0))</f>
        <v>MET</v>
      </c>
      <c r="B45" s="3" t="s">
        <v>14</v>
      </c>
      <c r="C45" s="3" t="s">
        <v>172</v>
      </c>
      <c r="D45" s="5" t="str">
        <f t="shared" si="0"/>
        <v>MET_007_44_</v>
      </c>
      <c r="E45" s="4" t="s">
        <v>103</v>
      </c>
      <c r="H45" s="5">
        <v>1</v>
      </c>
      <c r="I45" s="5">
        <v>2</v>
      </c>
    </row>
    <row r="46" spans="1:9" x14ac:dyDescent="0.6">
      <c r="A46" s="5" t="str">
        <f>INDEX(Classify!C:C,MATCH(Ingredient!B46,Classify!A:A,0))</f>
        <v>MET</v>
      </c>
      <c r="B46" s="3" t="s">
        <v>14</v>
      </c>
      <c r="C46" s="3" t="s">
        <v>173</v>
      </c>
      <c r="D46" s="5" t="str">
        <f t="shared" si="0"/>
        <v>MET_007_45_</v>
      </c>
      <c r="E46" s="4" t="s">
        <v>104</v>
      </c>
      <c r="I46" s="5">
        <v>0</v>
      </c>
    </row>
    <row r="47" spans="1:9" x14ac:dyDescent="0.6">
      <c r="A47" s="5" t="str">
        <f>INDEX(Classify!C:C,MATCH(Ingredient!B47,Classify!A:A,0))</f>
        <v>MET</v>
      </c>
      <c r="B47" s="3" t="s">
        <v>14</v>
      </c>
      <c r="C47" s="3" t="s">
        <v>174</v>
      </c>
      <c r="D47" s="5" t="str">
        <f t="shared" si="0"/>
        <v>MET_007_46_</v>
      </c>
      <c r="E47" s="4" t="s">
        <v>105</v>
      </c>
      <c r="I47" s="5">
        <v>0</v>
      </c>
    </row>
    <row r="48" spans="1:9" x14ac:dyDescent="0.6">
      <c r="A48" s="5" t="str">
        <f>INDEX(Classify!C:C,MATCH(Ingredient!B48,Classify!A:A,0))</f>
        <v>MET</v>
      </c>
      <c r="B48" s="3" t="s">
        <v>14</v>
      </c>
      <c r="C48" s="3" t="s">
        <v>175</v>
      </c>
      <c r="D48" s="5" t="str">
        <f t="shared" si="0"/>
        <v>MET_007_47_</v>
      </c>
      <c r="E48" s="4" t="s">
        <v>106</v>
      </c>
      <c r="I48" s="5">
        <v>0</v>
      </c>
    </row>
    <row r="49" spans="1:9" x14ac:dyDescent="0.6">
      <c r="A49" s="5" t="str">
        <f>INDEX(Classify!C:C,MATCH(Ingredient!B49,Classify!A:A,0))</f>
        <v>MET</v>
      </c>
      <c r="B49" s="3" t="s">
        <v>14</v>
      </c>
      <c r="C49" s="3" t="s">
        <v>176</v>
      </c>
      <c r="D49" s="5" t="str">
        <f t="shared" si="0"/>
        <v>MET_007_48_</v>
      </c>
      <c r="E49" s="4" t="s">
        <v>107</v>
      </c>
      <c r="H49" s="5">
        <v>3</v>
      </c>
      <c r="I49" s="5">
        <v>2</v>
      </c>
    </row>
    <row r="50" spans="1:9" x14ac:dyDescent="0.6">
      <c r="A50" s="5" t="str">
        <f>INDEX(Classify!C:C,MATCH(Ingredient!B50,Classify!A:A,0))</f>
        <v>MET</v>
      </c>
      <c r="B50" s="3" t="s">
        <v>14</v>
      </c>
      <c r="C50" s="3" t="s">
        <v>177</v>
      </c>
      <c r="D50" s="5" t="str">
        <f t="shared" si="0"/>
        <v>MET_007_49_</v>
      </c>
      <c r="E50" s="4" t="s">
        <v>108</v>
      </c>
      <c r="I50" s="5">
        <v>2</v>
      </c>
    </row>
    <row r="51" spans="1:9" x14ac:dyDescent="0.6">
      <c r="A51" s="5" t="str">
        <f>INDEX(Classify!C:C,MATCH(Ingredient!B51,Classify!A:A,0))</f>
        <v>MET</v>
      </c>
      <c r="B51" s="3" t="s">
        <v>14</v>
      </c>
      <c r="C51" s="3" t="s">
        <v>178</v>
      </c>
      <c r="D51" s="5" t="str">
        <f t="shared" si="0"/>
        <v>MET_007_50_</v>
      </c>
      <c r="E51" s="4" t="s">
        <v>109</v>
      </c>
      <c r="I51" s="5">
        <v>0</v>
      </c>
    </row>
    <row r="52" spans="1:9" x14ac:dyDescent="0.6">
      <c r="A52" s="5" t="str">
        <f>INDEX(Classify!C:C,MATCH(Ingredient!B52,Classify!A:A,0))</f>
        <v>MET</v>
      </c>
      <c r="B52" s="3" t="s">
        <v>14</v>
      </c>
      <c r="C52" s="3" t="s">
        <v>179</v>
      </c>
      <c r="D52" s="5" t="str">
        <f t="shared" si="0"/>
        <v>MET_007_51_</v>
      </c>
      <c r="E52" s="4" t="s">
        <v>110</v>
      </c>
      <c r="I52" s="5">
        <v>0</v>
      </c>
    </row>
    <row r="53" spans="1:9" x14ac:dyDescent="0.6">
      <c r="A53" s="5" t="str">
        <f>INDEX(Classify!C:C,MATCH(Ingredient!B53,Classify!A:A,0))</f>
        <v>MET</v>
      </c>
      <c r="B53" s="3" t="s">
        <v>14</v>
      </c>
      <c r="C53" s="3" t="s">
        <v>180</v>
      </c>
      <c r="D53" s="5" t="str">
        <f t="shared" si="0"/>
        <v>MET_007_52_</v>
      </c>
      <c r="E53" s="4" t="s">
        <v>58</v>
      </c>
      <c r="F53" s="5" t="s">
        <v>232</v>
      </c>
      <c r="I53" s="5">
        <v>8</v>
      </c>
    </row>
    <row r="54" spans="1:9" x14ac:dyDescent="0.6">
      <c r="A54" s="5" t="str">
        <f>INDEX(Classify!C:C,MATCH(Ingredient!B54,Classify!A:A,0))</f>
        <v>MET</v>
      </c>
      <c r="B54" s="3" t="s">
        <v>14</v>
      </c>
      <c r="C54" s="3" t="s">
        <v>181</v>
      </c>
      <c r="D54" s="5" t="str">
        <f t="shared" si="0"/>
        <v>MET_007_53_</v>
      </c>
      <c r="E54" s="4" t="s">
        <v>111</v>
      </c>
      <c r="I54" s="5">
        <v>0</v>
      </c>
    </row>
    <row r="55" spans="1:9" x14ac:dyDescent="0.6">
      <c r="A55" s="5" t="str">
        <f>INDEX(Classify!C:C,MATCH(Ingredient!B55,Classify!A:A,0))</f>
        <v>MET</v>
      </c>
      <c r="B55" s="3" t="s">
        <v>14</v>
      </c>
      <c r="C55" s="3" t="s">
        <v>182</v>
      </c>
      <c r="D55" s="5" t="str">
        <f t="shared" si="0"/>
        <v>MET_007_54_</v>
      </c>
      <c r="E55" s="4" t="s">
        <v>112</v>
      </c>
      <c r="I55" s="5">
        <v>1</v>
      </c>
    </row>
    <row r="56" spans="1:9" x14ac:dyDescent="0.6">
      <c r="A56" s="5" t="e">
        <f>INDEX(Classify!C:C,MATCH(Ingredient!B56,Classify!A:A,0))</f>
        <v>#N/A</v>
      </c>
      <c r="C56" s="3" t="s">
        <v>183</v>
      </c>
      <c r="D56" s="5" t="e">
        <f t="shared" si="0"/>
        <v>#N/A</v>
      </c>
      <c r="I56" s="5">
        <v>1</v>
      </c>
    </row>
    <row r="57" spans="1:9" x14ac:dyDescent="0.6">
      <c r="A57" s="5" t="str">
        <f>INDEX(Classify!C:C,MATCH(Ingredient!B57,Classify!A:A,0))</f>
        <v>VET</v>
      </c>
      <c r="B57" s="3" t="s">
        <v>16</v>
      </c>
      <c r="C57" s="3" t="s">
        <v>184</v>
      </c>
      <c r="D57" s="5" t="str">
        <f t="shared" si="0"/>
        <v>VET_008_56_</v>
      </c>
      <c r="E57" s="4" t="s">
        <v>205</v>
      </c>
      <c r="I57" s="5">
        <v>1</v>
      </c>
    </row>
    <row r="58" spans="1:9" x14ac:dyDescent="0.6">
      <c r="A58" s="5" t="str">
        <f>INDEX(Classify!C:C,MATCH(Ingredient!B58,Classify!A:A,0))</f>
        <v>VET</v>
      </c>
      <c r="B58" s="3" t="s">
        <v>16</v>
      </c>
      <c r="C58" s="3" t="s">
        <v>185</v>
      </c>
      <c r="D58" s="5" t="str">
        <f t="shared" si="0"/>
        <v>VET_008_57_</v>
      </c>
      <c r="E58" s="4" t="s">
        <v>202</v>
      </c>
      <c r="H58" s="5">
        <v>1</v>
      </c>
      <c r="I58" s="5">
        <v>0</v>
      </c>
    </row>
    <row r="59" spans="1:9" x14ac:dyDescent="0.6">
      <c r="A59" s="5" t="str">
        <f>INDEX(Classify!C:C,MATCH(Ingredient!B59,Classify!A:A,0))</f>
        <v>VET</v>
      </c>
      <c r="B59" s="3" t="s">
        <v>16</v>
      </c>
      <c r="C59" s="3" t="s">
        <v>186</v>
      </c>
      <c r="D59" s="5" t="str">
        <f t="shared" si="0"/>
        <v>VET_008_58_</v>
      </c>
      <c r="E59" s="4" t="s">
        <v>203</v>
      </c>
      <c r="H59" s="5">
        <v>1</v>
      </c>
      <c r="I59" s="5">
        <v>1</v>
      </c>
    </row>
    <row r="60" spans="1:9" x14ac:dyDescent="0.6">
      <c r="A60" s="5" t="str">
        <f>INDEX(Classify!C:C,MATCH(Ingredient!B60,Classify!A:A,0))</f>
        <v>VET</v>
      </c>
      <c r="B60" s="3" t="s">
        <v>16</v>
      </c>
      <c r="C60" s="3" t="s">
        <v>187</v>
      </c>
      <c r="D60" s="5" t="str">
        <f t="shared" si="0"/>
        <v>VET_008_59_</v>
      </c>
      <c r="E60" s="4" t="s">
        <v>204</v>
      </c>
      <c r="I60" s="5">
        <v>5</v>
      </c>
    </row>
    <row r="61" spans="1:9" x14ac:dyDescent="0.6">
      <c r="A61" s="5" t="str">
        <f>INDEX(Classify!C:C,MATCH(Ingredient!B61,Classify!A:A,0))</f>
        <v>VET</v>
      </c>
      <c r="B61" s="3" t="s">
        <v>16</v>
      </c>
      <c r="C61" s="3" t="s">
        <v>188</v>
      </c>
      <c r="D61" s="5" t="str">
        <f t="shared" si="0"/>
        <v>VET_008_60_</v>
      </c>
      <c r="E61" s="4" t="s">
        <v>226</v>
      </c>
      <c r="I61" s="5">
        <v>1</v>
      </c>
    </row>
    <row r="62" spans="1:9" x14ac:dyDescent="0.6">
      <c r="A62" s="5" t="str">
        <f>INDEX(Classify!C:C,MATCH(Ingredient!B62,Classify!A:A,0))</f>
        <v>VET</v>
      </c>
      <c r="B62" s="3" t="s">
        <v>16</v>
      </c>
      <c r="C62" s="3" t="s">
        <v>189</v>
      </c>
      <c r="D62" s="5" t="str">
        <f t="shared" si="0"/>
        <v>VET_008_61_</v>
      </c>
      <c r="E62" s="4" t="s">
        <v>206</v>
      </c>
      <c r="I62" s="5">
        <v>1</v>
      </c>
    </row>
    <row r="63" spans="1:9" x14ac:dyDescent="0.6">
      <c r="A63" s="5" t="str">
        <f>INDEX(Classify!C:C,MATCH(Ingredient!B63,Classify!A:A,0))</f>
        <v>VET</v>
      </c>
      <c r="B63" s="3" t="s">
        <v>16</v>
      </c>
      <c r="C63" s="3" t="s">
        <v>190</v>
      </c>
      <c r="D63" s="5" t="str">
        <f t="shared" si="0"/>
        <v>VET_008_62_</v>
      </c>
      <c r="E63" s="4" t="s">
        <v>207</v>
      </c>
      <c r="I63" s="5">
        <v>1</v>
      </c>
    </row>
    <row r="64" spans="1:9" x14ac:dyDescent="0.6">
      <c r="A64" s="5" t="str">
        <f>INDEX(Classify!C:C,MATCH(Ingredient!B64,Classify!A:A,0))</f>
        <v>VET</v>
      </c>
      <c r="B64" s="3" t="s">
        <v>16</v>
      </c>
      <c r="C64" s="3" t="s">
        <v>191</v>
      </c>
      <c r="D64" s="5" t="str">
        <f t="shared" si="0"/>
        <v>VET_008_63_</v>
      </c>
      <c r="E64" s="4" t="s">
        <v>208</v>
      </c>
      <c r="H64" s="5">
        <v>1</v>
      </c>
      <c r="I64" s="5">
        <v>0</v>
      </c>
    </row>
    <row r="65" spans="1:9" x14ac:dyDescent="0.6">
      <c r="A65" s="5" t="str">
        <f>INDEX(Classify!C:C,MATCH(Ingredient!B65,Classify!A:A,0))</f>
        <v>VET</v>
      </c>
      <c r="B65" s="3" t="s">
        <v>16</v>
      </c>
      <c r="C65" s="3" t="s">
        <v>192</v>
      </c>
      <c r="D65" s="5" t="str">
        <f t="shared" si="0"/>
        <v>VET_008_64_</v>
      </c>
      <c r="E65" s="4" t="s">
        <v>227</v>
      </c>
      <c r="I65" s="5">
        <v>1</v>
      </c>
    </row>
    <row r="66" spans="1:9" x14ac:dyDescent="0.6">
      <c r="A66" s="5" t="str">
        <f>INDEX(Classify!C:C,MATCH(Ingredient!B66,Classify!A:A,0))</f>
        <v>VET</v>
      </c>
      <c r="B66" s="3" t="s">
        <v>16</v>
      </c>
      <c r="C66" s="3" t="s">
        <v>193</v>
      </c>
      <c r="D66" s="5" t="str">
        <f t="shared" si="0"/>
        <v>VET_008_65_</v>
      </c>
      <c r="E66" s="4" t="s">
        <v>209</v>
      </c>
      <c r="I66" s="5">
        <v>3</v>
      </c>
    </row>
    <row r="67" spans="1:9" x14ac:dyDescent="0.6">
      <c r="A67" s="5" t="str">
        <f>INDEX(Classify!C:C,MATCH(Ingredient!B67,Classify!A:A,0))</f>
        <v>VET</v>
      </c>
      <c r="B67" s="3" t="s">
        <v>16</v>
      </c>
      <c r="C67" s="3" t="s">
        <v>194</v>
      </c>
      <c r="D67" s="5" t="str">
        <f t="shared" si="0"/>
        <v>VET_008_66_</v>
      </c>
      <c r="E67" s="4" t="s">
        <v>220</v>
      </c>
      <c r="I67" s="5">
        <v>0</v>
      </c>
    </row>
    <row r="68" spans="1:9" x14ac:dyDescent="0.6">
      <c r="A68" s="5" t="str">
        <f>INDEX(Classify!C:C,MATCH(Ingredient!B68,Classify!A:A,0))</f>
        <v>VET</v>
      </c>
      <c r="B68" s="3" t="s">
        <v>16</v>
      </c>
      <c r="C68" s="3" t="s">
        <v>195</v>
      </c>
      <c r="D68" s="5" t="str">
        <f t="shared" si="0"/>
        <v>VET_008_67_</v>
      </c>
      <c r="E68" s="4" t="s">
        <v>218</v>
      </c>
      <c r="I68" s="5">
        <v>1</v>
      </c>
    </row>
    <row r="69" spans="1:9" x14ac:dyDescent="0.6">
      <c r="A69" s="5" t="str">
        <f>INDEX(Classify!C:C,MATCH(Ingredient!B69,Classify!A:A,0))</f>
        <v>VET</v>
      </c>
      <c r="B69" s="3" t="s">
        <v>16</v>
      </c>
      <c r="C69" s="3" t="s">
        <v>196</v>
      </c>
      <c r="D69" s="5" t="str">
        <f t="shared" si="0"/>
        <v>VET_008_68_</v>
      </c>
      <c r="E69" s="4" t="s">
        <v>219</v>
      </c>
      <c r="I69" s="5">
        <v>0</v>
      </c>
    </row>
    <row r="70" spans="1:9" x14ac:dyDescent="0.6">
      <c r="A70" s="5" t="str">
        <f>INDEX(Classify!C:C,MATCH(Ingredient!B70,Classify!A:A,0))</f>
        <v>VET</v>
      </c>
      <c r="B70" s="3" t="s">
        <v>16</v>
      </c>
      <c r="C70" s="3" t="s">
        <v>197</v>
      </c>
      <c r="D70" s="5" t="str">
        <f t="shared" si="0"/>
        <v>VET_008_69_</v>
      </c>
      <c r="E70" s="4" t="s">
        <v>228</v>
      </c>
      <c r="I70" s="5">
        <v>0</v>
      </c>
    </row>
    <row r="71" spans="1:9" x14ac:dyDescent="0.6">
      <c r="A71" s="5" t="str">
        <f>INDEX(Classify!C:C,MATCH(Ingredient!B71,Classify!A:A,0))</f>
        <v>VET</v>
      </c>
      <c r="B71" s="3" t="s">
        <v>16</v>
      </c>
      <c r="C71" s="3" t="s">
        <v>198</v>
      </c>
      <c r="D71" s="5" t="str">
        <f t="shared" si="0"/>
        <v>VET_008_70_</v>
      </c>
      <c r="E71" s="4" t="s">
        <v>229</v>
      </c>
      <c r="I71" s="5">
        <v>0</v>
      </c>
    </row>
    <row r="72" spans="1:9" x14ac:dyDescent="0.6">
      <c r="C72" s="3" t="s">
        <v>199</v>
      </c>
      <c r="I72" s="5">
        <v>1</v>
      </c>
    </row>
    <row r="73" spans="1:9" x14ac:dyDescent="0.6">
      <c r="A73" s="5" t="e">
        <f>INDEX(Classify!C:C,MATCH(Ingredient!B73,Classify!A:A,0))</f>
        <v>#N/A</v>
      </c>
      <c r="C73" s="3" t="s">
        <v>210</v>
      </c>
      <c r="D73" s="5" t="e">
        <f t="shared" si="0"/>
        <v>#N/A</v>
      </c>
      <c r="I73" s="5">
        <v>1</v>
      </c>
    </row>
    <row r="74" spans="1:9" x14ac:dyDescent="0.6">
      <c r="A74" s="5" t="str">
        <f>INDEX(Classify!C:C,MATCH(Ingredient!B74,Classify!A:A,0))</f>
        <v>RCE</v>
      </c>
      <c r="B74" s="3" t="s">
        <v>17</v>
      </c>
      <c r="C74" s="3" t="s">
        <v>211</v>
      </c>
      <c r="D74" s="5" t="str">
        <f t="shared" si="0"/>
        <v>RCE_009_73_</v>
      </c>
      <c r="E74" s="4" t="s">
        <v>59</v>
      </c>
      <c r="H74" s="5">
        <v>1</v>
      </c>
      <c r="I74" s="5">
        <v>1</v>
      </c>
    </row>
    <row r="75" spans="1:9" x14ac:dyDescent="0.6">
      <c r="A75" s="5" t="str">
        <f>INDEX(Classify!C:C,MATCH(Ingredient!B75,Classify!A:A,0))</f>
        <v>RCE</v>
      </c>
      <c r="B75" s="3" t="s">
        <v>17</v>
      </c>
      <c r="C75" s="3" t="s">
        <v>212</v>
      </c>
      <c r="D75" s="5" t="str">
        <f t="shared" si="0"/>
        <v>RCE_009_74_</v>
      </c>
      <c r="E75" s="4" t="s">
        <v>116</v>
      </c>
      <c r="I75" s="5">
        <v>1</v>
      </c>
    </row>
    <row r="76" spans="1:9" x14ac:dyDescent="0.6">
      <c r="A76" s="5" t="str">
        <f>INDEX(Classify!C:C,MATCH(Ingredient!B76,Classify!A:A,0))</f>
        <v>RCE</v>
      </c>
      <c r="B76" s="3" t="s">
        <v>17</v>
      </c>
      <c r="C76" s="3" t="s">
        <v>213</v>
      </c>
      <c r="D76" s="5" t="str">
        <f t="shared" si="0"/>
        <v>RCE_009_75_</v>
      </c>
      <c r="E76" s="4" t="s">
        <v>114</v>
      </c>
      <c r="I76" s="5">
        <v>1</v>
      </c>
    </row>
    <row r="77" spans="1:9" x14ac:dyDescent="0.6">
      <c r="A77" s="5" t="str">
        <f>INDEX(Classify!C:C,MATCH(Ingredient!B77,Classify!A:A,0))</f>
        <v>RCE</v>
      </c>
      <c r="B77" s="3" t="s">
        <v>17</v>
      </c>
      <c r="C77" s="3" t="s">
        <v>214</v>
      </c>
      <c r="D77" s="5" t="str">
        <f t="shared" si="0"/>
        <v>RCE_009_76_</v>
      </c>
      <c r="E77" s="4" t="s">
        <v>115</v>
      </c>
      <c r="I77" s="5">
        <v>1</v>
      </c>
    </row>
    <row r="78" spans="1:9" x14ac:dyDescent="0.6">
      <c r="A78" s="5" t="str">
        <f>INDEX(Classify!C:C,MATCH(Ingredient!B78,Classify!A:A,0))</f>
        <v>RCE</v>
      </c>
      <c r="B78" s="3" t="s">
        <v>17</v>
      </c>
      <c r="C78" s="3" t="s">
        <v>215</v>
      </c>
      <c r="D78" s="5" t="str">
        <f t="shared" si="0"/>
        <v>RCE_009_77_</v>
      </c>
      <c r="E78" s="4" t="s">
        <v>113</v>
      </c>
      <c r="I78" s="5">
        <v>1</v>
      </c>
    </row>
    <row r="79" spans="1:9" x14ac:dyDescent="0.6">
      <c r="A79" s="5" t="str">
        <f>INDEX(Classify!C:C,MATCH(Ingredient!B79,Classify!A:A,0))</f>
        <v>RCE</v>
      </c>
      <c r="B79" s="3" t="s">
        <v>17</v>
      </c>
      <c r="C79" s="3" t="s">
        <v>216</v>
      </c>
      <c r="D79" s="5" t="str">
        <f t="shared" si="0"/>
        <v>RCE_009_78_</v>
      </c>
      <c r="E79" s="4" t="s">
        <v>117</v>
      </c>
      <c r="I79" s="5">
        <v>1</v>
      </c>
    </row>
    <row r="80" spans="1:9" x14ac:dyDescent="0.6">
      <c r="A80" s="5" t="str">
        <f>INDEX(Classify!C:C,MATCH(Ingredient!B80,Classify!A:A,0))</f>
        <v>RCE</v>
      </c>
      <c r="B80" s="3" t="s">
        <v>17</v>
      </c>
      <c r="C80" s="3" t="s">
        <v>217</v>
      </c>
      <c r="D80" s="5" t="str">
        <f t="shared" ref="D80:D85" si="1">_xlfn.TEXTJOIN("_",FALSE,A80,B80,C80,)</f>
        <v>RCE_009_79_</v>
      </c>
      <c r="E80" s="4" t="s">
        <v>60</v>
      </c>
      <c r="I80" s="5">
        <v>3</v>
      </c>
    </row>
    <row r="81" spans="1:9" x14ac:dyDescent="0.6">
      <c r="A81" s="5" t="e">
        <f>INDEX(Classify!C:C,MATCH(Ingredient!B81,Classify!A:A,0))</f>
        <v>#N/A</v>
      </c>
      <c r="C81" s="3" t="s">
        <v>221</v>
      </c>
      <c r="D81" s="5" t="e">
        <f t="shared" si="1"/>
        <v>#N/A</v>
      </c>
      <c r="I81" s="5">
        <v>1</v>
      </c>
    </row>
    <row r="82" spans="1:9" x14ac:dyDescent="0.6">
      <c r="A82" s="5" t="str">
        <f>INDEX(Classify!C:C,MATCH(Ingredient!B82,Classify!A:A,0))</f>
        <v>CUR</v>
      </c>
      <c r="B82" s="3" t="s">
        <v>20</v>
      </c>
      <c r="C82" s="3" t="s">
        <v>222</v>
      </c>
      <c r="D82" s="5" t="str">
        <f t="shared" si="1"/>
        <v>CUR_010_81_</v>
      </c>
      <c r="E82" s="4" t="s">
        <v>61</v>
      </c>
      <c r="I82" s="5">
        <v>1</v>
      </c>
    </row>
    <row r="83" spans="1:9" x14ac:dyDescent="0.6">
      <c r="A83" s="5" t="str">
        <f>INDEX(Classify!C:C,MATCH(Ingredient!B83,Classify!A:A,0))</f>
        <v>CUR</v>
      </c>
      <c r="B83" s="3" t="s">
        <v>20</v>
      </c>
      <c r="C83" s="3" t="s">
        <v>223</v>
      </c>
      <c r="D83" s="5" t="str">
        <f t="shared" si="1"/>
        <v>CUR_010_82_</v>
      </c>
      <c r="E83" s="4" t="s">
        <v>21</v>
      </c>
      <c r="I83" s="5">
        <v>0</v>
      </c>
    </row>
    <row r="84" spans="1:9" x14ac:dyDescent="0.6">
      <c r="A84" s="5" t="str">
        <f>INDEX(Classify!C:C,MATCH(Ingredient!B84,Classify!A:A,0))</f>
        <v>CUR</v>
      </c>
      <c r="B84" s="3" t="s">
        <v>20</v>
      </c>
      <c r="C84" s="3" t="s">
        <v>224</v>
      </c>
      <c r="D84" s="5" t="str">
        <f t="shared" si="1"/>
        <v>CUR_010_83_</v>
      </c>
      <c r="E84" s="4" t="s">
        <v>22</v>
      </c>
      <c r="I84" s="5">
        <v>0</v>
      </c>
    </row>
    <row r="85" spans="1:9" x14ac:dyDescent="0.6">
      <c r="A85" s="5" t="str">
        <f>INDEX(Classify!C:C,MATCH(Ingredient!B85,Classify!A:A,0))</f>
        <v>CUR</v>
      </c>
      <c r="B85" s="3" t="s">
        <v>20</v>
      </c>
      <c r="C85" s="3" t="s">
        <v>225</v>
      </c>
      <c r="D85" s="5" t="str">
        <f t="shared" si="1"/>
        <v>CUR_010_84_</v>
      </c>
      <c r="E85" s="4" t="s">
        <v>23</v>
      </c>
      <c r="I85" s="5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A103-333A-4B88-978E-3598F718030A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36F8-ABE6-47B8-921B-BE6FEA60BB53}">
  <dimension ref="A1:C10"/>
  <sheetViews>
    <sheetView workbookViewId="0">
      <selection activeCell="C15" sqref="C15"/>
    </sheetView>
  </sheetViews>
  <sheetFormatPr defaultRowHeight="14" x14ac:dyDescent="0.3"/>
  <cols>
    <col min="1" max="1" width="8.6640625" style="1"/>
    <col min="2" max="2" width="48.9140625" customWidth="1"/>
    <col min="3" max="3" width="18.75" customWidth="1"/>
  </cols>
  <sheetData>
    <row r="1" spans="1:3" x14ac:dyDescent="0.3">
      <c r="A1" s="1" t="s">
        <v>2</v>
      </c>
      <c r="B1" s="2" t="s">
        <v>1</v>
      </c>
      <c r="C1" t="s">
        <v>124</v>
      </c>
    </row>
    <row r="2" spans="1:3" x14ac:dyDescent="0.3">
      <c r="A2" s="1" t="s">
        <v>4</v>
      </c>
      <c r="B2" t="s">
        <v>3</v>
      </c>
      <c r="C2" t="s">
        <v>125</v>
      </c>
    </row>
    <row r="3" spans="1:3" x14ac:dyDescent="0.3">
      <c r="A3" s="1" t="s">
        <v>6</v>
      </c>
      <c r="B3" t="s">
        <v>5</v>
      </c>
      <c r="C3" t="s">
        <v>126</v>
      </c>
    </row>
    <row r="4" spans="1:3" x14ac:dyDescent="0.3">
      <c r="A4" s="1" t="s">
        <v>8</v>
      </c>
      <c r="B4" t="s">
        <v>7</v>
      </c>
      <c r="C4" t="s">
        <v>127</v>
      </c>
    </row>
    <row r="5" spans="1:3" x14ac:dyDescent="0.3">
      <c r="A5" s="1" t="s">
        <v>10</v>
      </c>
      <c r="B5" t="s">
        <v>9</v>
      </c>
      <c r="C5" t="s">
        <v>128</v>
      </c>
    </row>
    <row r="6" spans="1:3" x14ac:dyDescent="0.3">
      <c r="A6" s="1" t="s">
        <v>12</v>
      </c>
      <c r="B6" t="s">
        <v>11</v>
      </c>
      <c r="C6" t="s">
        <v>119</v>
      </c>
    </row>
    <row r="7" spans="1:3" x14ac:dyDescent="0.3">
      <c r="A7" s="1" t="s">
        <v>14</v>
      </c>
      <c r="B7" t="s">
        <v>13</v>
      </c>
      <c r="C7" t="s">
        <v>120</v>
      </c>
    </row>
    <row r="8" spans="1:3" x14ac:dyDescent="0.3">
      <c r="A8" s="1" t="s">
        <v>16</v>
      </c>
      <c r="B8" t="s">
        <v>15</v>
      </c>
      <c r="C8" t="s">
        <v>121</v>
      </c>
    </row>
    <row r="9" spans="1:3" x14ac:dyDescent="0.3">
      <c r="A9" s="1" t="s">
        <v>17</v>
      </c>
      <c r="B9" t="s">
        <v>18</v>
      </c>
      <c r="C9" t="s">
        <v>122</v>
      </c>
    </row>
    <row r="10" spans="1:3" x14ac:dyDescent="0.3">
      <c r="A10" s="1" t="s">
        <v>20</v>
      </c>
      <c r="B10" t="s">
        <v>19</v>
      </c>
      <c r="C1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OutOfStock</vt:lpstr>
      <vt:lpstr>Ingredient</vt:lpstr>
      <vt:lpstr>Unit</vt:lpstr>
      <vt:lpstr>Classify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accordlife.araya@gmail.com</dc:creator>
  <cp:lastModifiedBy>accordlife.araya@gmail.com</cp:lastModifiedBy>
  <dcterms:created xsi:type="dcterms:W3CDTF">2026-09-26T06:43:25Z</dcterms:created>
  <dcterms:modified xsi:type="dcterms:W3CDTF">2026-09-27T07:52:19Z</dcterms:modified>
</cp:coreProperties>
</file>